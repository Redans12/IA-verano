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de Distancias" sheetId="1" r:id="rId5"/>
  </sheets>
  <definedNames/>
  <calcPr/>
</workbook>
</file>

<file path=xl/sharedStrings.xml><?xml version="1.0" encoding="utf-8"?>
<sst xmlns="http://schemas.openxmlformats.org/spreadsheetml/2006/main" count="138" uniqueCount="63">
  <si>
    <t>Clasificación K-Vecinos Más Cercanos (K-NN) - Iris Dataset (2D)</t>
  </si>
  <si>
    <t>PUNTOS DE ENTRENAMIENTO (Dataset Original)</t>
  </si>
  <si>
    <t>ID Punto</t>
  </si>
  <si>
    <t>Sépalo Largo (X)</t>
  </si>
  <si>
    <t>Sépalo Ancho (Y)</t>
  </si>
  <si>
    <t>Clase / Especie</t>
  </si>
  <si>
    <t>ID Nuevo</t>
  </si>
  <si>
    <t>Clase Real</t>
  </si>
  <si>
    <t>Punto Nuevo</t>
  </si>
  <si>
    <t>Distancia Mínima</t>
  </si>
  <si>
    <t>Vecino Más Cercano</t>
  </si>
  <si>
    <t>Predicción (K=1)</t>
  </si>
  <si>
    <t>Estado</t>
  </si>
  <si>
    <t>A</t>
  </si>
  <si>
    <t>Setosa</t>
  </si>
  <si>
    <t>T1</t>
  </si>
  <si>
    <t>B</t>
  </si>
  <si>
    <t>T2</t>
  </si>
  <si>
    <t>C</t>
  </si>
  <si>
    <t>T3</t>
  </si>
  <si>
    <t>D</t>
  </si>
  <si>
    <t>T4</t>
  </si>
  <si>
    <t>E</t>
  </si>
  <si>
    <t>T5</t>
  </si>
  <si>
    <t>F</t>
  </si>
  <si>
    <t>Versicolor</t>
  </si>
  <si>
    <t>T6</t>
  </si>
  <si>
    <t>G</t>
  </si>
  <si>
    <t>T7</t>
  </si>
  <si>
    <t>H</t>
  </si>
  <si>
    <t>T8</t>
  </si>
  <si>
    <t>I</t>
  </si>
  <si>
    <t>T9</t>
  </si>
  <si>
    <t>J</t>
  </si>
  <si>
    <t>T10</t>
  </si>
  <si>
    <t>K</t>
  </si>
  <si>
    <t>Virginica</t>
  </si>
  <si>
    <t>T11</t>
  </si>
  <si>
    <t>L</t>
  </si>
  <si>
    <t>T12</t>
  </si>
  <si>
    <t>M</t>
  </si>
  <si>
    <t>T13</t>
  </si>
  <si>
    <t>N</t>
  </si>
  <si>
    <t>T14</t>
  </si>
  <si>
    <t>O</t>
  </si>
  <si>
    <t>T15</t>
  </si>
  <si>
    <t>Fórmula: =RAIZ((X_prueba - X_entrenamiento)^2 + (Y_prueba - Y_entrenamiento)^2)</t>
  </si>
  <si>
    <t>Especie Real</t>
  </si>
  <si>
    <t>d(A)</t>
  </si>
  <si>
    <t>d(B)</t>
  </si>
  <si>
    <t>d(C)</t>
  </si>
  <si>
    <t>d(D)</t>
  </si>
  <si>
    <t>d(E)</t>
  </si>
  <si>
    <t>d(F)</t>
  </si>
  <si>
    <t>d(G)</t>
  </si>
  <si>
    <t>d(H)</t>
  </si>
  <si>
    <t>d(I)</t>
  </si>
  <si>
    <t>d(J)</t>
  </si>
  <si>
    <t>d(K)</t>
  </si>
  <si>
    <t>d(L)</t>
  </si>
  <si>
    <t>d(M)</t>
  </si>
  <si>
    <t>d(N)</t>
  </si>
  <si>
    <t>d(O)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</si>
</sst>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"/>
  </numFmts>
  <fonts count="9">
    <font>
      <sz val="11.0"/>
      <color theme="1"/>
      <name val="Calibri"/>
      <scheme val="minor"/>
    </font>
    <font>
      <b/>
      <sz val="15.0"/>
      <color rgb="FF000000"/>
      <name val="Calibri"/>
    </font>
    <font>
      <i/>
      <sz val="11.0"/>
      <color rgb="FF595959"/>
      <name val="Calibri"/>
    </font>
    <font>
      <sz val="12.0"/>
      <color rgb="FF000000"/>
      <name val="Calibri"/>
    </font>
    <font>
      <b/>
      <sz val="12.0"/>
      <color rgb="FF1F4E79"/>
      <name val="Calibri"/>
    </font>
    <font>
      <b/>
      <sz val="11.0"/>
      <color rgb="FFFFFFFF"/>
      <name val="Calibri"/>
    </font>
    <font>
      <sz val="11.0"/>
      <color theme="1"/>
      <name val="Calibri"/>
    </font>
    <font>
      <sz val="11.0"/>
      <color rgb="FF595959"/>
      <name val="Calibri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43AA64"/>
        <bgColor rgb="FF43AA64"/>
      </patternFill>
    </fill>
    <fill>
      <patternFill patternType="solid">
        <fgColor rgb="FFF9FAFB"/>
        <bgColor rgb="FFF9FAFB"/>
      </patternFill>
    </fill>
  </fills>
  <borders count="3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Font="1"/>
    <xf borderId="1" fillId="2" fontId="5" numFmtId="0" xfId="0" applyAlignment="1" applyBorder="1" applyFill="1" applyFont="1">
      <alignment horizontal="center" vertical="center"/>
    </xf>
    <xf borderId="2" fillId="3" fontId="6" numFmtId="0" xfId="0" applyAlignment="1" applyBorder="1" applyFill="1" applyFont="1">
      <alignment horizontal="center"/>
    </xf>
    <xf borderId="2" fillId="3" fontId="6" numFmtId="164" xfId="0" applyAlignment="1" applyBorder="1" applyFont="1" applyNumberFormat="1">
      <alignment horizontal="right"/>
    </xf>
    <xf borderId="2" fillId="3" fontId="6" numFmtId="165" xfId="0" applyAlignment="1" applyBorder="1" applyFont="1" applyNumberFormat="1">
      <alignment horizontal="right"/>
    </xf>
    <xf borderId="2" fillId="0" fontId="6" numFmtId="0" xfId="0" applyAlignment="1" applyBorder="1" applyFont="1">
      <alignment horizontal="center"/>
    </xf>
    <xf borderId="2" fillId="0" fontId="6" numFmtId="164" xfId="0" applyAlignment="1" applyBorder="1" applyFont="1" applyNumberFormat="1">
      <alignment horizontal="right"/>
    </xf>
    <xf borderId="2" fillId="0" fontId="6" numFmtId="165" xfId="0" applyAlignment="1" applyBorder="1" applyFont="1" applyNumberFormat="1">
      <alignment horizontal="right"/>
    </xf>
    <xf borderId="0" fillId="0" fontId="7" numFmtId="0" xfId="0" applyAlignment="1" applyFont="1">
      <alignment readingOrder="0"/>
    </xf>
    <xf borderId="2" fillId="0" fontId="8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8.0"/>
    <col customWidth="1" min="2" max="3" width="20.0"/>
    <col customWidth="1" min="4" max="4" width="19.0"/>
    <col customWidth="1" min="5" max="5" width="12.0"/>
    <col customWidth="1" min="6" max="6" width="48.0"/>
    <col customWidth="1" min="7" max="8" width="20.0"/>
    <col customWidth="1" min="9" max="9" width="14.0"/>
    <col customWidth="1" min="10" max="10" width="12.0"/>
    <col customWidth="1" min="11" max="11" width="16.43"/>
    <col customWidth="1" min="12" max="12" width="21.29"/>
    <col customWidth="1" min="13" max="13" width="21.0"/>
    <col customWidth="1" min="14" max="14" width="20.29"/>
    <col customWidth="1" min="15" max="17" width="12.0"/>
    <col customWidth="1" min="18" max="18" width="19.0"/>
    <col customWidth="1" min="19" max="19" width="14.57"/>
    <col customWidth="1" min="20" max="20" width="22.0"/>
    <col customWidth="1" min="21" max="21" width="20.0"/>
    <col customWidth="1" min="22" max="22" width="12.0"/>
    <col customWidth="1" min="23" max="26" width="8.71"/>
  </cols>
  <sheetData>
    <row r="1">
      <c r="A1" s="1" t="s">
        <v>0</v>
      </c>
    </row>
    <row r="2">
      <c r="A2" s="2"/>
    </row>
    <row r="4">
      <c r="A4" s="3" t="s">
        <v>1</v>
      </c>
      <c r="F4" s="4"/>
      <c r="R4" s="4"/>
    </row>
    <row r="5">
      <c r="A5" s="5" t="s">
        <v>2</v>
      </c>
      <c r="B5" s="5" t="s">
        <v>3</v>
      </c>
      <c r="C5" s="5" t="s">
        <v>4</v>
      </c>
      <c r="D5" s="5" t="s">
        <v>5</v>
      </c>
      <c r="F5" s="5" t="s">
        <v>6</v>
      </c>
      <c r="G5" s="5" t="s">
        <v>3</v>
      </c>
      <c r="H5" s="5" t="s">
        <v>4</v>
      </c>
      <c r="I5" s="5" t="s">
        <v>7</v>
      </c>
      <c r="K5" s="5" t="s">
        <v>8</v>
      </c>
      <c r="L5" s="5" t="s">
        <v>9</v>
      </c>
      <c r="M5" s="5" t="s">
        <v>10</v>
      </c>
      <c r="N5" s="5" t="s">
        <v>11</v>
      </c>
      <c r="O5" s="5" t="s">
        <v>12</v>
      </c>
    </row>
    <row r="6">
      <c r="A6" s="6" t="s">
        <v>13</v>
      </c>
      <c r="B6" s="7">
        <v>5.1</v>
      </c>
      <c r="C6" s="7">
        <v>3.5</v>
      </c>
      <c r="D6" s="6" t="s">
        <v>14</v>
      </c>
      <c r="F6" s="6" t="s">
        <v>15</v>
      </c>
      <c r="G6" s="7">
        <v>4.8</v>
      </c>
      <c r="H6" s="7">
        <v>3.0</v>
      </c>
      <c r="I6" s="6" t="s">
        <v>14</v>
      </c>
      <c r="K6" s="6" t="s">
        <v>15</v>
      </c>
      <c r="L6" s="8">
        <f t="shared" ref="L6:L20" si="1">MIN(C27:Q27)</f>
        <v>0.1</v>
      </c>
      <c r="M6" s="6" t="str">
        <f t="shared" ref="M6:M20" si="2">INDEX($A$6:$A$20, MATCH(L6, C27:Q27, 0))</f>
        <v>B</v>
      </c>
      <c r="N6" s="6" t="str">
        <f t="shared" ref="N6:N20" si="3">INDEX($D$6:$D$20, MATCH(L6, C27:Q27, 0))</f>
        <v>Setosa</v>
      </c>
      <c r="O6" s="6" t="str">
        <f t="shared" ref="O6:O20" si="4">IF(N6=I6, "CORRECTO", "REVISAR")</f>
        <v>CORRECTO</v>
      </c>
    </row>
    <row r="7">
      <c r="A7" s="9" t="s">
        <v>16</v>
      </c>
      <c r="B7" s="10">
        <v>4.9</v>
      </c>
      <c r="C7" s="10">
        <v>3.0</v>
      </c>
      <c r="D7" s="9" t="s">
        <v>14</v>
      </c>
      <c r="F7" s="9" t="s">
        <v>17</v>
      </c>
      <c r="G7" s="10">
        <v>5.1</v>
      </c>
      <c r="H7" s="10">
        <v>3.8</v>
      </c>
      <c r="I7" s="9" t="s">
        <v>14</v>
      </c>
      <c r="K7" s="9" t="s">
        <v>17</v>
      </c>
      <c r="L7" s="11">
        <f t="shared" si="1"/>
        <v>0.2236067977</v>
      </c>
      <c r="M7" s="9" t="str">
        <f t="shared" si="2"/>
        <v>E</v>
      </c>
      <c r="N7" s="9" t="str">
        <f t="shared" si="3"/>
        <v>Setosa</v>
      </c>
      <c r="O7" s="9" t="str">
        <f t="shared" si="4"/>
        <v>CORRECTO</v>
      </c>
    </row>
    <row r="8">
      <c r="A8" s="6" t="s">
        <v>18</v>
      </c>
      <c r="B8" s="7">
        <v>4.7</v>
      </c>
      <c r="C8" s="7">
        <v>3.2</v>
      </c>
      <c r="D8" s="6" t="s">
        <v>14</v>
      </c>
      <c r="F8" s="6" t="s">
        <v>19</v>
      </c>
      <c r="G8" s="7">
        <v>4.6</v>
      </c>
      <c r="H8" s="7">
        <v>3.2</v>
      </c>
      <c r="I8" s="6" t="s">
        <v>14</v>
      </c>
      <c r="K8" s="6" t="s">
        <v>19</v>
      </c>
      <c r="L8" s="8">
        <f t="shared" si="1"/>
        <v>0.1</v>
      </c>
      <c r="M8" s="6" t="str">
        <f t="shared" si="2"/>
        <v>D</v>
      </c>
      <c r="N8" s="6" t="str">
        <f t="shared" si="3"/>
        <v>Setosa</v>
      </c>
      <c r="O8" s="6" t="str">
        <f t="shared" si="4"/>
        <v>CORRECTO</v>
      </c>
    </row>
    <row r="9">
      <c r="A9" s="9" t="s">
        <v>20</v>
      </c>
      <c r="B9" s="10">
        <v>4.6</v>
      </c>
      <c r="C9" s="10">
        <v>3.1</v>
      </c>
      <c r="D9" s="9" t="s">
        <v>14</v>
      </c>
      <c r="F9" s="9" t="s">
        <v>21</v>
      </c>
      <c r="G9" s="10">
        <v>5.3</v>
      </c>
      <c r="H9" s="10">
        <v>3.7</v>
      </c>
      <c r="I9" s="9" t="s">
        <v>14</v>
      </c>
      <c r="K9" s="9" t="s">
        <v>21</v>
      </c>
      <c r="L9" s="11">
        <f t="shared" si="1"/>
        <v>0.2828427125</v>
      </c>
      <c r="M9" s="9" t="str">
        <f t="shared" si="2"/>
        <v>A</v>
      </c>
      <c r="N9" s="9" t="str">
        <f t="shared" si="3"/>
        <v>Setosa</v>
      </c>
      <c r="O9" s="9" t="str">
        <f t="shared" si="4"/>
        <v>CORRECTO</v>
      </c>
    </row>
    <row r="10">
      <c r="A10" s="6" t="s">
        <v>22</v>
      </c>
      <c r="B10" s="7">
        <v>5.0</v>
      </c>
      <c r="C10" s="7">
        <v>3.6</v>
      </c>
      <c r="D10" s="6" t="s">
        <v>14</v>
      </c>
      <c r="F10" s="6" t="s">
        <v>23</v>
      </c>
      <c r="G10" s="7">
        <v>5.0</v>
      </c>
      <c r="H10" s="7">
        <v>3.3</v>
      </c>
      <c r="I10" s="6" t="s">
        <v>14</v>
      </c>
      <c r="K10" s="6" t="s">
        <v>23</v>
      </c>
      <c r="L10" s="8">
        <f t="shared" si="1"/>
        <v>0.2236067977</v>
      </c>
      <c r="M10" s="6" t="str">
        <f t="shared" si="2"/>
        <v>A</v>
      </c>
      <c r="N10" s="6" t="str">
        <f t="shared" si="3"/>
        <v>Setosa</v>
      </c>
      <c r="O10" s="6" t="str">
        <f t="shared" si="4"/>
        <v>CORRECTO</v>
      </c>
    </row>
    <row r="11">
      <c r="A11" s="9" t="s">
        <v>24</v>
      </c>
      <c r="B11" s="10">
        <v>7.0</v>
      </c>
      <c r="C11" s="10">
        <v>3.2</v>
      </c>
      <c r="D11" s="9" t="s">
        <v>25</v>
      </c>
      <c r="F11" s="9" t="s">
        <v>26</v>
      </c>
      <c r="G11" s="10">
        <v>5.7</v>
      </c>
      <c r="H11" s="10">
        <v>3.0</v>
      </c>
      <c r="I11" s="9" t="s">
        <v>25</v>
      </c>
      <c r="K11" s="9" t="s">
        <v>26</v>
      </c>
      <c r="L11" s="11">
        <f t="shared" si="1"/>
        <v>0.316227766</v>
      </c>
      <c r="M11" s="9" t="str">
        <f t="shared" si="2"/>
        <v>L</v>
      </c>
      <c r="N11" s="9" t="str">
        <f t="shared" si="3"/>
        <v>Virginica</v>
      </c>
      <c r="O11" s="9" t="str">
        <f t="shared" si="4"/>
        <v>REVISAR</v>
      </c>
    </row>
    <row r="12">
      <c r="A12" s="6" t="s">
        <v>27</v>
      </c>
      <c r="B12" s="7">
        <v>6.4</v>
      </c>
      <c r="C12" s="7">
        <v>3.2</v>
      </c>
      <c r="D12" s="6" t="s">
        <v>25</v>
      </c>
      <c r="F12" s="6" t="s">
        <v>28</v>
      </c>
      <c r="G12" s="7">
        <v>5.7</v>
      </c>
      <c r="H12" s="7">
        <v>2.9</v>
      </c>
      <c r="I12" s="6" t="s">
        <v>25</v>
      </c>
      <c r="K12" s="6" t="s">
        <v>28</v>
      </c>
      <c r="L12" s="8">
        <f t="shared" si="1"/>
        <v>0.2236067977</v>
      </c>
      <c r="M12" s="6" t="str">
        <f t="shared" si="2"/>
        <v>L</v>
      </c>
      <c r="N12" s="6" t="str">
        <f t="shared" si="3"/>
        <v>Virginica</v>
      </c>
      <c r="O12" s="6" t="str">
        <f t="shared" si="4"/>
        <v>REVISAR</v>
      </c>
    </row>
    <row r="13">
      <c r="A13" s="9" t="s">
        <v>29</v>
      </c>
      <c r="B13" s="10">
        <v>6.9</v>
      </c>
      <c r="C13" s="10">
        <v>3.1</v>
      </c>
      <c r="D13" s="9" t="s">
        <v>25</v>
      </c>
      <c r="F13" s="9" t="s">
        <v>30</v>
      </c>
      <c r="G13" s="10">
        <v>6.2</v>
      </c>
      <c r="H13" s="10">
        <v>2.9</v>
      </c>
      <c r="I13" s="9" t="s">
        <v>25</v>
      </c>
      <c r="K13" s="9" t="s">
        <v>30</v>
      </c>
      <c r="L13" s="11">
        <f t="shared" si="1"/>
        <v>0.1</v>
      </c>
      <c r="M13" s="9" t="str">
        <f t="shared" si="2"/>
        <v>N</v>
      </c>
      <c r="N13" s="9" t="str">
        <f t="shared" si="3"/>
        <v>Virginica</v>
      </c>
      <c r="O13" s="9" t="str">
        <f t="shared" si="4"/>
        <v>REVISAR</v>
      </c>
    </row>
    <row r="14">
      <c r="A14" s="6" t="s">
        <v>31</v>
      </c>
      <c r="B14" s="7">
        <v>5.5</v>
      </c>
      <c r="C14" s="7">
        <v>2.3</v>
      </c>
      <c r="D14" s="6" t="s">
        <v>25</v>
      </c>
      <c r="F14" s="6" t="s">
        <v>32</v>
      </c>
      <c r="G14" s="7">
        <v>5.1</v>
      </c>
      <c r="H14" s="7">
        <v>2.5</v>
      </c>
      <c r="I14" s="6" t="s">
        <v>25</v>
      </c>
      <c r="K14" s="6" t="s">
        <v>32</v>
      </c>
      <c r="L14" s="8">
        <f t="shared" si="1"/>
        <v>0.4472135955</v>
      </c>
      <c r="M14" s="6" t="str">
        <f t="shared" si="2"/>
        <v>I</v>
      </c>
      <c r="N14" s="6" t="str">
        <f t="shared" si="3"/>
        <v>Versicolor</v>
      </c>
      <c r="O14" s="6" t="str">
        <f t="shared" si="4"/>
        <v>CORRECTO</v>
      </c>
    </row>
    <row r="15">
      <c r="A15" s="9" t="s">
        <v>33</v>
      </c>
      <c r="B15" s="10">
        <v>6.5</v>
      </c>
      <c r="C15" s="10">
        <v>2.8</v>
      </c>
      <c r="D15" s="9" t="s">
        <v>25</v>
      </c>
      <c r="F15" s="9" t="s">
        <v>34</v>
      </c>
      <c r="G15" s="10">
        <v>5.7</v>
      </c>
      <c r="H15" s="10">
        <v>2.8</v>
      </c>
      <c r="I15" s="9" t="s">
        <v>25</v>
      </c>
      <c r="K15" s="9" t="s">
        <v>34</v>
      </c>
      <c r="L15" s="11">
        <f t="shared" si="1"/>
        <v>0.1414213562</v>
      </c>
      <c r="M15" s="9" t="str">
        <f t="shared" si="2"/>
        <v>L</v>
      </c>
      <c r="N15" s="9" t="str">
        <f t="shared" si="3"/>
        <v>Virginica</v>
      </c>
      <c r="O15" s="9" t="str">
        <f t="shared" si="4"/>
        <v>REVISAR</v>
      </c>
    </row>
    <row r="16">
      <c r="A16" s="6" t="s">
        <v>35</v>
      </c>
      <c r="B16" s="7">
        <v>6.3</v>
      </c>
      <c r="C16" s="7">
        <v>3.3</v>
      </c>
      <c r="D16" s="6" t="s">
        <v>36</v>
      </c>
      <c r="F16" s="6" t="s">
        <v>37</v>
      </c>
      <c r="G16" s="7">
        <v>6.7</v>
      </c>
      <c r="H16" s="7">
        <v>3.0</v>
      </c>
      <c r="I16" s="6" t="s">
        <v>36</v>
      </c>
      <c r="K16" s="6" t="s">
        <v>37</v>
      </c>
      <c r="L16" s="8">
        <f t="shared" si="1"/>
        <v>0.2</v>
      </c>
      <c r="M16" s="6" t="str">
        <f t="shared" si="2"/>
        <v>O</v>
      </c>
      <c r="N16" s="6" t="str">
        <f t="shared" si="3"/>
        <v>Virginica</v>
      </c>
      <c r="O16" s="6" t="str">
        <f t="shared" si="4"/>
        <v>CORRECTO</v>
      </c>
    </row>
    <row r="17">
      <c r="A17" s="9" t="s">
        <v>38</v>
      </c>
      <c r="B17" s="10">
        <v>5.8</v>
      </c>
      <c r="C17" s="10">
        <v>2.7</v>
      </c>
      <c r="D17" s="9" t="s">
        <v>36</v>
      </c>
      <c r="F17" s="9" t="s">
        <v>39</v>
      </c>
      <c r="G17" s="10">
        <v>6.3</v>
      </c>
      <c r="H17" s="10">
        <v>2.5</v>
      </c>
      <c r="I17" s="9" t="s">
        <v>36</v>
      </c>
      <c r="K17" s="9" t="s">
        <v>39</v>
      </c>
      <c r="L17" s="11">
        <f t="shared" si="1"/>
        <v>0.3605551275</v>
      </c>
      <c r="M17" s="9" t="str">
        <f t="shared" si="2"/>
        <v>J</v>
      </c>
      <c r="N17" s="9" t="str">
        <f t="shared" si="3"/>
        <v>Versicolor</v>
      </c>
      <c r="O17" s="9" t="str">
        <f t="shared" si="4"/>
        <v>REVISAR</v>
      </c>
    </row>
    <row r="18">
      <c r="A18" s="6" t="s">
        <v>40</v>
      </c>
      <c r="B18" s="7">
        <v>7.1</v>
      </c>
      <c r="C18" s="7">
        <v>3.0</v>
      </c>
      <c r="D18" s="6" t="s">
        <v>36</v>
      </c>
      <c r="F18" s="6" t="s">
        <v>41</v>
      </c>
      <c r="G18" s="7">
        <v>6.5</v>
      </c>
      <c r="H18" s="7">
        <v>3.0</v>
      </c>
      <c r="I18" s="6" t="s">
        <v>36</v>
      </c>
      <c r="K18" s="6" t="s">
        <v>41</v>
      </c>
      <c r="L18" s="8">
        <f t="shared" si="1"/>
        <v>0</v>
      </c>
      <c r="M18" s="6" t="str">
        <f t="shared" si="2"/>
        <v>O</v>
      </c>
      <c r="N18" s="6" t="str">
        <f t="shared" si="3"/>
        <v>Virginica</v>
      </c>
      <c r="O18" s="6" t="str">
        <f t="shared" si="4"/>
        <v>CORRECTO</v>
      </c>
    </row>
    <row r="19">
      <c r="A19" s="9" t="s">
        <v>42</v>
      </c>
      <c r="B19" s="10">
        <v>6.3</v>
      </c>
      <c r="C19" s="10">
        <v>2.9</v>
      </c>
      <c r="D19" s="9" t="s">
        <v>36</v>
      </c>
      <c r="F19" s="9" t="s">
        <v>43</v>
      </c>
      <c r="G19" s="10">
        <v>6.2</v>
      </c>
      <c r="H19" s="10">
        <v>3.4</v>
      </c>
      <c r="I19" s="9" t="s">
        <v>36</v>
      </c>
      <c r="K19" s="9" t="s">
        <v>43</v>
      </c>
      <c r="L19" s="11">
        <f t="shared" si="1"/>
        <v>0.1414213562</v>
      </c>
      <c r="M19" s="9" t="str">
        <f t="shared" si="2"/>
        <v>K</v>
      </c>
      <c r="N19" s="9" t="str">
        <f t="shared" si="3"/>
        <v>Virginica</v>
      </c>
      <c r="O19" s="9" t="str">
        <f t="shared" si="4"/>
        <v>CORRECTO</v>
      </c>
    </row>
    <row r="20">
      <c r="A20" s="6" t="s">
        <v>44</v>
      </c>
      <c r="B20" s="7">
        <v>6.5</v>
      </c>
      <c r="C20" s="7">
        <v>3.0</v>
      </c>
      <c r="D20" s="6" t="s">
        <v>36</v>
      </c>
      <c r="F20" s="6" t="s">
        <v>45</v>
      </c>
      <c r="G20" s="7">
        <v>5.9</v>
      </c>
      <c r="H20" s="7">
        <v>3.0</v>
      </c>
      <c r="I20" s="6" t="s">
        <v>36</v>
      </c>
      <c r="K20" s="6" t="s">
        <v>45</v>
      </c>
      <c r="L20" s="8">
        <f t="shared" si="1"/>
        <v>0.316227766</v>
      </c>
      <c r="M20" s="6" t="str">
        <f t="shared" si="2"/>
        <v>L</v>
      </c>
      <c r="N20" s="6" t="str">
        <f t="shared" si="3"/>
        <v>Virginica</v>
      </c>
      <c r="O20" s="6" t="str">
        <f t="shared" si="4"/>
        <v>CORRECTO</v>
      </c>
    </row>
    <row r="21" ht="15.75" customHeight="1"/>
    <row r="22" ht="15.75" customHeight="1"/>
    <row r="23" ht="15.75" customHeight="1">
      <c r="A23" s="4"/>
    </row>
    <row r="24" ht="15.75" customHeight="1"/>
    <row r="25" ht="15.75" customHeight="1">
      <c r="A25" s="12" t="s">
        <v>46</v>
      </c>
    </row>
    <row r="26" ht="15.75" customHeight="1">
      <c r="A26" s="5" t="s">
        <v>8</v>
      </c>
      <c r="B26" s="5" t="s">
        <v>47</v>
      </c>
      <c r="C26" s="5" t="s">
        <v>48</v>
      </c>
      <c r="D26" s="5" t="s">
        <v>49</v>
      </c>
      <c r="E26" s="5" t="s">
        <v>50</v>
      </c>
      <c r="F26" s="5" t="s">
        <v>51</v>
      </c>
      <c r="G26" s="5" t="s">
        <v>52</v>
      </c>
      <c r="H26" s="5" t="s">
        <v>53</v>
      </c>
      <c r="I26" s="5" t="s">
        <v>54</v>
      </c>
      <c r="J26" s="5" t="s">
        <v>55</v>
      </c>
      <c r="K26" s="5" t="s">
        <v>56</v>
      </c>
      <c r="L26" s="5" t="s">
        <v>57</v>
      </c>
      <c r="M26" s="5" t="s">
        <v>58</v>
      </c>
      <c r="N26" s="5" t="s">
        <v>59</v>
      </c>
      <c r="O26" s="5" t="s">
        <v>60</v>
      </c>
      <c r="P26" s="5" t="s">
        <v>61</v>
      </c>
      <c r="Q26" s="5" t="s">
        <v>62</v>
      </c>
    </row>
    <row r="27" ht="15.75" customHeight="1">
      <c r="A27" s="13" t="s">
        <v>15</v>
      </c>
      <c r="B27" s="9" t="s">
        <v>14</v>
      </c>
      <c r="C27" s="11">
        <f>SQRT(($G6-$B6)^2 + ($H6-$C6)^2)</f>
        <v>0.5830951895</v>
      </c>
      <c r="D27" s="11">
        <f>SQRT(($G6-$B7)^2 + ($H6-$C7)^2)</f>
        <v>0.1</v>
      </c>
      <c r="E27" s="11">
        <f>SQRT(($G6-$B8)^2 + ($H6-$C8)^2)</f>
        <v>0.2236067977</v>
      </c>
      <c r="F27" s="11">
        <f>SQRT(($G6-$B9)^2 + ($H6-$C9)^2)</f>
        <v>0.2236067977</v>
      </c>
      <c r="G27" s="11">
        <f>SQRT(($G6-$B10)^2 + ($H6-$C10)^2)</f>
        <v>0.632455532</v>
      </c>
      <c r="H27" s="11">
        <f>SQRT(($G6-$B11)^2 + ($H6-$C11)^2)</f>
        <v>2.209072203</v>
      </c>
      <c r="I27" s="11">
        <f>SQRT(($G6-$B12)^2 + ($H6-$C12)^2)</f>
        <v>1.61245155</v>
      </c>
      <c r="J27" s="11">
        <f>SQRT(($G6-$B13)^2 + ($H6-$C13)^2)</f>
        <v>2.102379604</v>
      </c>
      <c r="K27" s="11">
        <f>SQRT(($G6-$B14)^2 + ($H6-$C14)^2)</f>
        <v>0.9899494937</v>
      </c>
      <c r="L27" s="11">
        <f>SQRT(($G6-$B15)^2 + ($H6-$C15)^2)</f>
        <v>1.711724277</v>
      </c>
      <c r="M27" s="11">
        <f>SQRT(($G6-$B16)^2 + ($H6-$C16)^2)</f>
        <v>1.529705854</v>
      </c>
      <c r="N27" s="11">
        <f>SQRT(($G6-$B17)^2 + ($H6-$C17)^2)</f>
        <v>1.044030651</v>
      </c>
      <c r="O27" s="11">
        <f>SQRT(($G6-$B18)^2 + ($H6-$C18)^2)</f>
        <v>2.3</v>
      </c>
      <c r="P27" s="11">
        <f>SQRT(($G6-$B19)^2 + ($H6-$C19)^2)</f>
        <v>1.503329638</v>
      </c>
      <c r="Q27" s="11">
        <f>SQRT(($G6-$B20)^2 + ($H6-$C20)^2)</f>
        <v>1.7</v>
      </c>
    </row>
    <row r="28" ht="15.75" customHeight="1">
      <c r="A28" s="13" t="s">
        <v>17</v>
      </c>
      <c r="B28" s="9" t="s">
        <v>14</v>
      </c>
      <c r="C28" s="8">
        <f>SQRT(($G7-$B6)^2 + ($H7-$C6)^2)</f>
        <v>0.3</v>
      </c>
      <c r="D28" s="8">
        <f>SQRT(($G7-$B7)^2 + ($H7-$C7)^2)</f>
        <v>0.8246211251</v>
      </c>
      <c r="E28" s="8">
        <f>SQRT(($G7-$B8)^2 + ($H7-$C8)^2)</f>
        <v>0.7211102551</v>
      </c>
      <c r="F28" s="8">
        <f>SQRT(($G7-$B9)^2 + ($H7-$C9)^2)</f>
        <v>0.8602325267</v>
      </c>
      <c r="G28" s="8">
        <f>SQRT(($G7-$B10)^2 + ($H7-$C10)^2)</f>
        <v>0.2236067977</v>
      </c>
      <c r="H28" s="8">
        <f>SQRT(($G7-$B11)^2 + ($H7-$C11)^2)</f>
        <v>1.992485885</v>
      </c>
      <c r="I28" s="8">
        <f>SQRT(($G7-$B12)^2 + ($H7-$C12)^2)</f>
        <v>1.431782106</v>
      </c>
      <c r="J28" s="8">
        <f>SQRT(($G7-$B13)^2 + ($H7-$C13)^2)</f>
        <v>1.931320792</v>
      </c>
      <c r="K28" s="8">
        <f>SQRT(($G7-$B14)^2 + ($H7-$C14)^2)</f>
        <v>1.55241747</v>
      </c>
      <c r="L28" s="8">
        <f>SQRT(($G7-$B15)^2 + ($H7-$C15)^2)</f>
        <v>1.720465053</v>
      </c>
      <c r="M28" s="8">
        <f>SQRT(($G7-$B16)^2 + ($H7-$C16)^2)</f>
        <v>1.3</v>
      </c>
      <c r="N28" s="8">
        <f>SQRT(($G7-$B17)^2 + ($H7-$C17)^2)</f>
        <v>1.303840481</v>
      </c>
      <c r="O28" s="8">
        <f>SQRT(($G7-$B18)^2 + ($H7-$C18)^2)</f>
        <v>2.154065923</v>
      </c>
      <c r="P28" s="8">
        <f>SQRT(($G7-$B19)^2 + ($H7-$C19)^2)</f>
        <v>1.5</v>
      </c>
      <c r="Q28" s="8">
        <f>SQRT(($G7-$B20)^2 + ($H7-$C20)^2)</f>
        <v>1.61245155</v>
      </c>
    </row>
    <row r="29" ht="15.75" customHeight="1">
      <c r="A29" s="13" t="s">
        <v>19</v>
      </c>
      <c r="B29" s="9" t="s">
        <v>14</v>
      </c>
      <c r="C29" s="11">
        <f>SQRT(($G8-$B6)^2 + ($H8-$C6)^2)</f>
        <v>0.5830951895</v>
      </c>
      <c r="D29" s="11">
        <f>SQRT(($G8-$B7)^2 + ($H8-$C7)^2)</f>
        <v>0.3605551275</v>
      </c>
      <c r="E29" s="11">
        <f>SQRT(($G8-$B8)^2 + ($H8-$C8)^2)</f>
        <v>0.1</v>
      </c>
      <c r="F29" s="11">
        <f>SQRT(($G8-$B9)^2 + ($H8-$C9)^2)</f>
        <v>0.1</v>
      </c>
      <c r="G29" s="11">
        <f>SQRT(($G8-$B10)^2 + ($H8-$C10)^2)</f>
        <v>0.5656854249</v>
      </c>
      <c r="H29" s="11">
        <f>SQRT(($G8-$B11)^2 + ($H8-$C11)^2)</f>
        <v>2.4</v>
      </c>
      <c r="I29" s="11">
        <f>SQRT(($G8-$B12)^2 + ($H8-$C12)^2)</f>
        <v>1.8</v>
      </c>
      <c r="J29" s="11">
        <f>SQRT(($G8-$B13)^2 + ($H8-$C13)^2)</f>
        <v>2.302172887</v>
      </c>
      <c r="K29" s="11">
        <f>SQRT(($G8-$B14)^2 + ($H8-$C14)^2)</f>
        <v>1.272792206</v>
      </c>
      <c r="L29" s="11">
        <f>SQRT(($G8-$B15)^2 + ($H8-$C15)^2)</f>
        <v>1.941648784</v>
      </c>
      <c r="M29" s="11">
        <f>SQRT(($G8-$B16)^2 + ($H8-$C16)^2)</f>
        <v>1.702938637</v>
      </c>
      <c r="N29" s="11">
        <f>SQRT(($G8-$B17)^2 + ($H8-$C17)^2)</f>
        <v>1.3</v>
      </c>
      <c r="O29" s="11">
        <f>SQRT(($G8-$B18)^2 + ($H8-$C18)^2)</f>
        <v>2.507987241</v>
      </c>
      <c r="P29" s="11">
        <f>SQRT(($G8-$B19)^2 + ($H8-$C19)^2)</f>
        <v>1.72626765</v>
      </c>
      <c r="Q29" s="11">
        <f>SQRT(($G8-$B20)^2 + ($H8-$C20)^2)</f>
        <v>1.910497317</v>
      </c>
    </row>
    <row r="30" ht="15.75" customHeight="1">
      <c r="A30" s="13" t="s">
        <v>21</v>
      </c>
      <c r="B30" s="9" t="s">
        <v>14</v>
      </c>
      <c r="C30" s="8">
        <f>SQRT(($G9-$B6)^2 + ($H9-$C6)^2)</f>
        <v>0.2828427125</v>
      </c>
      <c r="D30" s="8">
        <f>SQRT(($G9-$B7)^2 + ($H9-$C7)^2)</f>
        <v>0.8062257748</v>
      </c>
      <c r="E30" s="8">
        <f>SQRT(($G9-$B8)^2 + ($H9-$C8)^2)</f>
        <v>0.7810249676</v>
      </c>
      <c r="F30" s="8">
        <f>SQRT(($G9-$B9)^2 + ($H9-$C9)^2)</f>
        <v>0.9219544457</v>
      </c>
      <c r="G30" s="8">
        <f>SQRT(($G9-$B10)^2 + ($H9-$C10)^2)</f>
        <v>0.316227766</v>
      </c>
      <c r="H30" s="8">
        <f>SQRT(($G9-$B11)^2 + ($H9-$C11)^2)</f>
        <v>1.772004515</v>
      </c>
      <c r="I30" s="8">
        <f>SQRT(($G9-$B12)^2 + ($H9-$C12)^2)</f>
        <v>1.208304597</v>
      </c>
      <c r="J30" s="8">
        <f>SQRT(($G9-$B13)^2 + ($H9-$C13)^2)</f>
        <v>1.708800749</v>
      </c>
      <c r="K30" s="8">
        <f>SQRT(($G9-$B14)^2 + ($H9-$C14)^2)</f>
        <v>1.414213562</v>
      </c>
      <c r="L30" s="8">
        <f>SQRT(($G9-$B15)^2 + ($H9-$C15)^2)</f>
        <v>1.5</v>
      </c>
      <c r="M30" s="8">
        <f>SQRT(($G9-$B16)^2 + ($H9-$C16)^2)</f>
        <v>1.077032961</v>
      </c>
      <c r="N30" s="8">
        <f>SQRT(($G9-$B17)^2 + ($H9-$C17)^2)</f>
        <v>1.118033989</v>
      </c>
      <c r="O30" s="8">
        <f>SQRT(($G9-$B18)^2 + ($H9-$C18)^2)</f>
        <v>1.931320792</v>
      </c>
      <c r="P30" s="8">
        <f>SQRT(($G9-$B19)^2 + ($H9-$C19)^2)</f>
        <v>1.280624847</v>
      </c>
      <c r="Q30" s="8">
        <f>SQRT(($G9-$B20)^2 + ($H9-$C20)^2)</f>
        <v>1.389244399</v>
      </c>
    </row>
    <row r="31" ht="15.75" customHeight="1">
      <c r="A31" s="13" t="s">
        <v>23</v>
      </c>
      <c r="B31" s="9" t="s">
        <v>14</v>
      </c>
      <c r="C31" s="11">
        <f>SQRT(($G10-$B6)^2 + ($H10-$C6)^2)</f>
        <v>0.2236067977</v>
      </c>
      <c r="D31" s="11">
        <f>SQRT(($G10-$B7)^2 + ($H10-$C7)^2)</f>
        <v>0.316227766</v>
      </c>
      <c r="E31" s="11">
        <f>SQRT(($G10-$B8)^2 + ($H10-$C8)^2)</f>
        <v>0.316227766</v>
      </c>
      <c r="F31" s="11">
        <f>SQRT(($G10-$B9)^2 + ($H10-$C9)^2)</f>
        <v>0.4472135955</v>
      </c>
      <c r="G31" s="11">
        <f>SQRT(($G10-$B10)^2 + ($H10-$C10)^2)</f>
        <v>0.3</v>
      </c>
      <c r="H31" s="11">
        <f>SQRT(($G10-$B11)^2 + ($H10-$C11)^2)</f>
        <v>2.002498439</v>
      </c>
      <c r="I31" s="11">
        <f>SQRT(($G10-$B12)^2 + ($H10-$C12)^2)</f>
        <v>1.403566885</v>
      </c>
      <c r="J31" s="11">
        <f>SQRT(($G10-$B13)^2 + ($H10-$C13)^2)</f>
        <v>1.910497317</v>
      </c>
      <c r="K31" s="11">
        <f>SQRT(($G10-$B14)^2 + ($H10-$C14)^2)</f>
        <v>1.118033989</v>
      </c>
      <c r="L31" s="11">
        <f>SQRT(($G10-$B15)^2 + ($H10-$C15)^2)</f>
        <v>1.58113883</v>
      </c>
      <c r="M31" s="11">
        <f>SQRT(($G10-$B16)^2 + ($H10-$C16)^2)</f>
        <v>1.3</v>
      </c>
      <c r="N31" s="11">
        <f>SQRT(($G10-$B17)^2 + ($H10-$C17)^2)</f>
        <v>1</v>
      </c>
      <c r="O31" s="11">
        <f>SQRT(($G10-$B18)^2 + ($H10-$C18)^2)</f>
        <v>2.121320344</v>
      </c>
      <c r="P31" s="11">
        <f>SQRT(($G10-$B19)^2 + ($H10-$C19)^2)</f>
        <v>1.360147051</v>
      </c>
      <c r="Q31" s="11">
        <f>SQRT(($G10-$B20)^2 + ($H10-$C20)^2)</f>
        <v>1.529705854</v>
      </c>
    </row>
    <row r="32" ht="15.75" customHeight="1">
      <c r="A32" s="13" t="s">
        <v>26</v>
      </c>
      <c r="B32" s="9" t="s">
        <v>25</v>
      </c>
      <c r="C32" s="8">
        <f>SQRT(($G11-$B6)^2 + ($H11-$C6)^2)</f>
        <v>0.7810249676</v>
      </c>
      <c r="D32" s="8">
        <f>SQRT(($G11-$B7)^2 + ($H11-$C7)^2)</f>
        <v>0.8</v>
      </c>
      <c r="E32" s="8">
        <f>SQRT(($G11-$B8)^2 + ($H11-$C8)^2)</f>
        <v>1.019803903</v>
      </c>
      <c r="F32" s="8">
        <f>SQRT(($G11-$B9)^2 + ($H11-$C9)^2)</f>
        <v>1.104536102</v>
      </c>
      <c r="G32" s="8">
        <f>SQRT(($G11-$B10)^2 + ($H11-$C10)^2)</f>
        <v>0.9219544457</v>
      </c>
      <c r="H32" s="8">
        <f>SQRT(($G11-$B11)^2 + ($H11-$C11)^2)</f>
        <v>1.315294644</v>
      </c>
      <c r="I32" s="8">
        <f>SQRT(($G11-$B12)^2 + ($H11-$C12)^2)</f>
        <v>0.7280109889</v>
      </c>
      <c r="J32" s="8">
        <f>SQRT(($G11-$B13)^2 + ($H11-$C13)^2)</f>
        <v>1.204159458</v>
      </c>
      <c r="K32" s="8">
        <f>SQRT(($G11-$B14)^2 + ($H11-$C14)^2)</f>
        <v>0.7280109889</v>
      </c>
      <c r="L32" s="8">
        <f>SQRT(($G11-$B15)^2 + ($H11-$C15)^2)</f>
        <v>0.8246211251</v>
      </c>
      <c r="M32" s="8">
        <f>SQRT(($G11-$B16)^2 + ($H11-$C16)^2)</f>
        <v>0.6708203932</v>
      </c>
      <c r="N32" s="8">
        <f>SQRT(($G11-$B17)^2 + ($H11-$C17)^2)</f>
        <v>0.316227766</v>
      </c>
      <c r="O32" s="8">
        <f>SQRT(($G11-$B18)^2 + ($H11-$C18)^2)</f>
        <v>1.4</v>
      </c>
      <c r="P32" s="8">
        <f>SQRT(($G11-$B19)^2 + ($H11-$C19)^2)</f>
        <v>0.608276253</v>
      </c>
      <c r="Q32" s="8">
        <f>SQRT(($G11-$B20)^2 + ($H11-$C20)^2)</f>
        <v>0.8</v>
      </c>
    </row>
    <row r="33" ht="15.75" customHeight="1">
      <c r="A33" s="13" t="s">
        <v>28</v>
      </c>
      <c r="B33" s="9" t="s">
        <v>25</v>
      </c>
      <c r="C33" s="11">
        <f>SQRT(($G12-$B6)^2 + ($H12-$C6)^2)</f>
        <v>0.8485281374</v>
      </c>
      <c r="D33" s="11">
        <f>SQRT(($G12-$B7)^2 + ($H12-$C7)^2)</f>
        <v>0.8062257748</v>
      </c>
      <c r="E33" s="11">
        <f>SQRT(($G12-$B8)^2 + ($H12-$C8)^2)</f>
        <v>1.044030651</v>
      </c>
      <c r="F33" s="11">
        <f>SQRT(($G12-$B9)^2 + ($H12-$C9)^2)</f>
        <v>1.118033989</v>
      </c>
      <c r="G33" s="11">
        <f>SQRT(($G12-$B10)^2 + ($H12-$C10)^2)</f>
        <v>0.9899494937</v>
      </c>
      <c r="H33" s="11">
        <f>SQRT(($G12-$B11)^2 + ($H12-$C11)^2)</f>
        <v>1.334166406</v>
      </c>
      <c r="I33" s="11">
        <f>SQRT(($G12-$B12)^2 + ($H12-$C12)^2)</f>
        <v>0.7615773106</v>
      </c>
      <c r="J33" s="11">
        <f>SQRT(($G12-$B13)^2 + ($H12-$C13)^2)</f>
        <v>1.216552506</v>
      </c>
      <c r="K33" s="11">
        <f>SQRT(($G12-$B14)^2 + ($H12-$C14)^2)</f>
        <v>0.632455532</v>
      </c>
      <c r="L33" s="11">
        <f>SQRT(($G12-$B15)^2 + ($H12-$C15)^2)</f>
        <v>0.8062257748</v>
      </c>
      <c r="M33" s="11">
        <f>SQRT(($G12-$B16)^2 + ($H12-$C16)^2)</f>
        <v>0.7211102551</v>
      </c>
      <c r="N33" s="11">
        <f>SQRT(($G12-$B17)^2 + ($H12-$C17)^2)</f>
        <v>0.2236067977</v>
      </c>
      <c r="O33" s="11">
        <f>SQRT(($G12-$B18)^2 + ($H12-$C18)^2)</f>
        <v>1.403566885</v>
      </c>
      <c r="P33" s="11">
        <f>SQRT(($G12-$B19)^2 + ($H12-$C19)^2)</f>
        <v>0.6</v>
      </c>
      <c r="Q33" s="11">
        <f>SQRT(($G12-$B20)^2 + ($H12-$C20)^2)</f>
        <v>0.8062257748</v>
      </c>
    </row>
    <row r="34" ht="15.75" customHeight="1">
      <c r="A34" s="13" t="s">
        <v>30</v>
      </c>
      <c r="B34" s="9" t="s">
        <v>25</v>
      </c>
      <c r="C34" s="8">
        <f>SQRT(($G13-$B6)^2 + ($H13-$C6)^2)</f>
        <v>1.252996409</v>
      </c>
      <c r="D34" s="8">
        <f>SQRT(($G13-$B7)^2 + ($H13-$C7)^2)</f>
        <v>1.303840481</v>
      </c>
      <c r="E34" s="8">
        <f>SQRT(($G13-$B8)^2 + ($H13-$C8)^2)</f>
        <v>1.529705854</v>
      </c>
      <c r="F34" s="8">
        <f>SQRT(($G13-$B9)^2 + ($H13-$C9)^2)</f>
        <v>1.61245155</v>
      </c>
      <c r="G34" s="8">
        <f>SQRT(($G13-$B10)^2 + ($H13-$C10)^2)</f>
        <v>1.389244399</v>
      </c>
      <c r="H34" s="8">
        <f>SQRT(($G13-$B11)^2 + ($H13-$C11)^2)</f>
        <v>0.8544003745</v>
      </c>
      <c r="I34" s="8">
        <f>SQRT(($G13-$B12)^2 + ($H13-$C12)^2)</f>
        <v>0.3605551275</v>
      </c>
      <c r="J34" s="8">
        <f>SQRT(($G13-$B13)^2 + ($H13-$C13)^2)</f>
        <v>0.7280109889</v>
      </c>
      <c r="K34" s="8">
        <f>SQRT(($G13-$B14)^2 + ($H13-$C14)^2)</f>
        <v>0.9219544457</v>
      </c>
      <c r="L34" s="8">
        <f>SQRT(($G13-$B15)^2 + ($H13-$C15)^2)</f>
        <v>0.316227766</v>
      </c>
      <c r="M34" s="8">
        <f>SQRT(($G13-$B16)^2 + ($H13-$C16)^2)</f>
        <v>0.4123105626</v>
      </c>
      <c r="N34" s="8">
        <f>SQRT(($G13-$B17)^2 + ($H13-$C17)^2)</f>
        <v>0.4472135955</v>
      </c>
      <c r="O34" s="8">
        <f>SQRT(($G13-$B18)^2 + ($H13-$C18)^2)</f>
        <v>0.9055385138</v>
      </c>
      <c r="P34" s="8">
        <f>SQRT(($G13-$B19)^2 + ($H13-$C19)^2)</f>
        <v>0.1</v>
      </c>
      <c r="Q34" s="8">
        <f>SQRT(($G13-$B20)^2 + ($H13-$C20)^2)</f>
        <v>0.316227766</v>
      </c>
    </row>
    <row r="35" ht="15.75" customHeight="1">
      <c r="A35" s="13" t="s">
        <v>32</v>
      </c>
      <c r="B35" s="9" t="s">
        <v>25</v>
      </c>
      <c r="C35" s="11">
        <f>SQRT(($G14-$B6)^2 + ($H14-$C6)^2)</f>
        <v>1</v>
      </c>
      <c r="D35" s="11">
        <f>SQRT(($G14-$B7)^2 + ($H14-$C7)^2)</f>
        <v>0.5385164807</v>
      </c>
      <c r="E35" s="11">
        <f>SQRT(($G14-$B8)^2 + ($H14-$C8)^2)</f>
        <v>0.8062257748</v>
      </c>
      <c r="F35" s="11">
        <f>SQRT(($G14-$B9)^2 + ($H14-$C9)^2)</f>
        <v>0.7810249676</v>
      </c>
      <c r="G35" s="11">
        <f>SQRT(($G14-$B10)^2 + ($H14-$C10)^2)</f>
        <v>1.104536102</v>
      </c>
      <c r="H35" s="11">
        <f>SQRT(($G14-$B11)^2 + ($H14-$C11)^2)</f>
        <v>2.024845673</v>
      </c>
      <c r="I35" s="11">
        <f>SQRT(($G14-$B12)^2 + ($H14-$C12)^2)</f>
        <v>1.476482306</v>
      </c>
      <c r="J35" s="11">
        <f>SQRT(($G14-$B13)^2 + ($H14-$C13)^2)</f>
        <v>1.897366596</v>
      </c>
      <c r="K35" s="11">
        <f>SQRT(($G14-$B14)^2 + ($H14-$C14)^2)</f>
        <v>0.4472135955</v>
      </c>
      <c r="L35" s="11">
        <f>SQRT(($G14-$B15)^2 + ($H14-$C15)^2)</f>
        <v>1.431782106</v>
      </c>
      <c r="M35" s="11">
        <f>SQRT(($G14-$B16)^2 + ($H14-$C16)^2)</f>
        <v>1.44222051</v>
      </c>
      <c r="N35" s="11">
        <f>SQRT(($G14-$B17)^2 + ($H14-$C17)^2)</f>
        <v>0.7280109889</v>
      </c>
      <c r="O35" s="11">
        <f>SQRT(($G14-$B18)^2 + ($H14-$C18)^2)</f>
        <v>2.061552813</v>
      </c>
      <c r="P35" s="11">
        <f>SQRT(($G14-$B19)^2 + ($H14-$C19)^2)</f>
        <v>1.264911064</v>
      </c>
      <c r="Q35" s="11">
        <f>SQRT(($G14-$B20)^2 + ($H14-$C20)^2)</f>
        <v>1.486606875</v>
      </c>
    </row>
    <row r="36" ht="15.75" customHeight="1">
      <c r="A36" s="13" t="s">
        <v>34</v>
      </c>
      <c r="B36" s="9" t="s">
        <v>25</v>
      </c>
      <c r="C36" s="8">
        <f>SQRT(($G15-$B6)^2 + ($H15-$C6)^2)</f>
        <v>0.9219544457</v>
      </c>
      <c r="D36" s="8">
        <f>SQRT(($G15-$B7)^2 + ($H15-$C7)^2)</f>
        <v>0.8246211251</v>
      </c>
      <c r="E36" s="8">
        <f>SQRT(($G15-$B8)^2 + ($H15-$C8)^2)</f>
        <v>1.077032961</v>
      </c>
      <c r="F36" s="8">
        <f>SQRT(($G15-$B9)^2 + ($H15-$C9)^2)</f>
        <v>1.140175425</v>
      </c>
      <c r="G36" s="8">
        <f>SQRT(($G15-$B10)^2 + ($H15-$C10)^2)</f>
        <v>1.063014581</v>
      </c>
      <c r="H36" s="8">
        <f>SQRT(($G15-$B11)^2 + ($H15-$C11)^2)</f>
        <v>1.360147051</v>
      </c>
      <c r="I36" s="8">
        <f>SQRT(($G15-$B12)^2 + ($H15-$C12)^2)</f>
        <v>0.8062257748</v>
      </c>
      <c r="J36" s="8">
        <f>SQRT(($G15-$B13)^2 + ($H15-$C13)^2)</f>
        <v>1.236931688</v>
      </c>
      <c r="K36" s="8">
        <f>SQRT(($G15-$B14)^2 + ($H15-$C14)^2)</f>
        <v>0.5385164807</v>
      </c>
      <c r="L36" s="8">
        <f>SQRT(($G15-$B15)^2 + ($H15-$C15)^2)</f>
        <v>0.8</v>
      </c>
      <c r="M36" s="8">
        <f>SQRT(($G15-$B16)^2 + ($H15-$C16)^2)</f>
        <v>0.7810249676</v>
      </c>
      <c r="N36" s="8">
        <f>SQRT(($G15-$B17)^2 + ($H15-$C17)^2)</f>
        <v>0.1414213562</v>
      </c>
      <c r="O36" s="8">
        <f>SQRT(($G15-$B18)^2 + ($H15-$C18)^2)</f>
        <v>1.414213562</v>
      </c>
      <c r="P36" s="8">
        <f>SQRT(($G15-$B19)^2 + ($H15-$C19)^2)</f>
        <v>0.608276253</v>
      </c>
      <c r="Q36" s="8">
        <f>SQRT(($G15-$B20)^2 + ($H15-$C20)^2)</f>
        <v>0.8246211251</v>
      </c>
    </row>
    <row r="37" ht="15.75" customHeight="1">
      <c r="A37" s="13" t="s">
        <v>37</v>
      </c>
      <c r="B37" s="9" t="s">
        <v>36</v>
      </c>
      <c r="C37" s="11">
        <f>SQRT(($G16-$B6)^2 + ($H16-$C6)^2)</f>
        <v>1.676305461</v>
      </c>
      <c r="D37" s="11">
        <f>SQRT(($G16-$B7)^2 + ($H16-$C7)^2)</f>
        <v>1.8</v>
      </c>
      <c r="E37" s="11">
        <f>SQRT(($G16-$B8)^2 + ($H16-$C8)^2)</f>
        <v>2.009975124</v>
      </c>
      <c r="F37" s="11">
        <f>SQRT(($G16-$B9)^2 + ($H16-$C9)^2)</f>
        <v>2.102379604</v>
      </c>
      <c r="G37" s="11">
        <f>SQRT(($G16-$B10)^2 + ($H16-$C10)^2)</f>
        <v>1.802775638</v>
      </c>
      <c r="H37" s="11">
        <f>SQRT(($G16-$B11)^2 + ($H16-$C11)^2)</f>
        <v>0.3605551275</v>
      </c>
      <c r="I37" s="11">
        <f>SQRT(($G16-$B12)^2 + ($H16-$C12)^2)</f>
        <v>0.3605551275</v>
      </c>
      <c r="J37" s="11">
        <f>SQRT(($G16-$B13)^2 + ($H16-$C13)^2)</f>
        <v>0.2236067977</v>
      </c>
      <c r="K37" s="11">
        <f>SQRT(($G16-$B14)^2 + ($H16-$C14)^2)</f>
        <v>1.389244399</v>
      </c>
      <c r="L37" s="11">
        <f>SQRT(($G16-$B15)^2 + ($H16-$C15)^2)</f>
        <v>0.2828427125</v>
      </c>
      <c r="M37" s="11">
        <f>SQRT(($G16-$B16)^2 + ($H16-$C16)^2)</f>
        <v>0.5</v>
      </c>
      <c r="N37" s="11">
        <f>SQRT(($G16-$B17)^2 + ($H16-$C17)^2)</f>
        <v>0.9486832981</v>
      </c>
      <c r="O37" s="11">
        <f>SQRT(($G16-$B18)^2 + ($H16-$C18)^2)</f>
        <v>0.4</v>
      </c>
      <c r="P37" s="11">
        <f>SQRT(($G16-$B19)^2 + ($H16-$C19)^2)</f>
        <v>0.4123105626</v>
      </c>
      <c r="Q37" s="11">
        <f>SQRT(($G16-$B20)^2 + ($H16-$C20)^2)</f>
        <v>0.2</v>
      </c>
    </row>
    <row r="38" ht="15.75" customHeight="1">
      <c r="A38" s="13" t="s">
        <v>39</v>
      </c>
      <c r="B38" s="9" t="s">
        <v>36</v>
      </c>
      <c r="C38" s="8">
        <f>SQRT(($G17-$B6)^2 + ($H17-$C6)^2)</f>
        <v>1.562049935</v>
      </c>
      <c r="D38" s="8">
        <f>SQRT(($G17-$B7)^2 + ($H17-$C7)^2)</f>
        <v>1.486606875</v>
      </c>
      <c r="E38" s="8">
        <f>SQRT(($G17-$B8)^2 + ($H17-$C8)^2)</f>
        <v>1.74642492</v>
      </c>
      <c r="F38" s="8">
        <f>SQRT(($G17-$B9)^2 + ($H17-$C9)^2)</f>
        <v>1.802775638</v>
      </c>
      <c r="G38" s="8">
        <f>SQRT(($G17-$B10)^2 + ($H17-$C10)^2)</f>
        <v>1.702938637</v>
      </c>
      <c r="H38" s="8">
        <f>SQRT(($G17-$B11)^2 + ($H17-$C11)^2)</f>
        <v>0.9899494937</v>
      </c>
      <c r="I38" s="8">
        <f>SQRT(($G17-$B12)^2 + ($H17-$C12)^2)</f>
        <v>0.7071067812</v>
      </c>
      <c r="J38" s="8">
        <f>SQRT(($G17-$B13)^2 + ($H17-$C13)^2)</f>
        <v>0.8485281374</v>
      </c>
      <c r="K38" s="8">
        <f>SQRT(($G17-$B14)^2 + ($H17-$C14)^2)</f>
        <v>0.8246211251</v>
      </c>
      <c r="L38" s="8">
        <f>SQRT(($G17-$B15)^2 + ($H17-$C15)^2)</f>
        <v>0.3605551275</v>
      </c>
      <c r="M38" s="8">
        <f>SQRT(($G17-$B16)^2 + ($H17-$C16)^2)</f>
        <v>0.8</v>
      </c>
      <c r="N38" s="8">
        <f>SQRT(($G17-$B17)^2 + ($H17-$C17)^2)</f>
        <v>0.5385164807</v>
      </c>
      <c r="O38" s="8">
        <f>SQRT(($G17-$B18)^2 + ($H17-$C18)^2)</f>
        <v>0.9433981132</v>
      </c>
      <c r="P38" s="8">
        <f>SQRT(($G17-$B19)^2 + ($H17-$C19)^2)</f>
        <v>0.4</v>
      </c>
      <c r="Q38" s="8">
        <f>SQRT(($G17-$B20)^2 + ($H17-$C20)^2)</f>
        <v>0.5385164807</v>
      </c>
    </row>
    <row r="39" ht="15.75" customHeight="1">
      <c r="A39" s="13" t="s">
        <v>41</v>
      </c>
      <c r="B39" s="9" t="s">
        <v>36</v>
      </c>
      <c r="C39" s="11">
        <f>SQRT(($G18-$B6)^2 + ($H18-$C6)^2)</f>
        <v>1.486606875</v>
      </c>
      <c r="D39" s="11">
        <f>SQRT(($G18-$B7)^2 + ($H18-$C7)^2)</f>
        <v>1.6</v>
      </c>
      <c r="E39" s="11">
        <f>SQRT(($G18-$B8)^2 + ($H18-$C8)^2)</f>
        <v>1.811077028</v>
      </c>
      <c r="F39" s="11">
        <f>SQRT(($G18-$B9)^2 + ($H18-$C9)^2)</f>
        <v>1.902629759</v>
      </c>
      <c r="G39" s="11">
        <f>SQRT(($G18-$B10)^2 + ($H18-$C10)^2)</f>
        <v>1.615549442</v>
      </c>
      <c r="H39" s="11">
        <f>SQRT(($G18-$B11)^2 + ($H18-$C11)^2)</f>
        <v>0.5385164807</v>
      </c>
      <c r="I39" s="11">
        <f>SQRT(($G18-$B12)^2 + ($H18-$C12)^2)</f>
        <v>0.2236067977</v>
      </c>
      <c r="J39" s="11">
        <f>SQRT(($G18-$B13)^2 + ($H18-$C13)^2)</f>
        <v>0.4123105626</v>
      </c>
      <c r="K39" s="11">
        <f>SQRT(($G18-$B14)^2 + ($H18-$C14)^2)</f>
        <v>1.220655562</v>
      </c>
      <c r="L39" s="11">
        <f>SQRT(($G18-$B15)^2 + ($H18-$C15)^2)</f>
        <v>0.2</v>
      </c>
      <c r="M39" s="11">
        <f>SQRT(($G18-$B16)^2 + ($H18-$C16)^2)</f>
        <v>0.3605551275</v>
      </c>
      <c r="N39" s="11">
        <f>SQRT(($G18-$B17)^2 + ($H18-$C17)^2)</f>
        <v>0.7615773106</v>
      </c>
      <c r="O39" s="11">
        <f>SQRT(($G18-$B18)^2 + ($H18-$C18)^2)</f>
        <v>0.6</v>
      </c>
      <c r="P39" s="11">
        <f>SQRT(($G18-$B19)^2 + ($H18-$C19)^2)</f>
        <v>0.2236067977</v>
      </c>
      <c r="Q39" s="11">
        <f>SQRT(($G18-$B20)^2 + ($H18-$C20)^2)</f>
        <v>0</v>
      </c>
    </row>
    <row r="40" ht="15.75" customHeight="1">
      <c r="A40" s="13" t="s">
        <v>43</v>
      </c>
      <c r="B40" s="9" t="s">
        <v>36</v>
      </c>
      <c r="C40" s="8">
        <f>SQRT(($G19-$B6)^2 + ($H19-$C6)^2)</f>
        <v>1.104536102</v>
      </c>
      <c r="D40" s="8">
        <f>SQRT(($G19-$B7)^2 + ($H19-$C7)^2)</f>
        <v>1.360147051</v>
      </c>
      <c r="E40" s="8">
        <f>SQRT(($G19-$B8)^2 + ($H19-$C8)^2)</f>
        <v>1.513274595</v>
      </c>
      <c r="F40" s="8">
        <f>SQRT(($G19-$B9)^2 + ($H19-$C9)^2)</f>
        <v>1.62788206</v>
      </c>
      <c r="G40" s="8">
        <f>SQRT(($G19-$B10)^2 + ($H19-$C10)^2)</f>
        <v>1.216552506</v>
      </c>
      <c r="H40" s="8">
        <f>SQRT(($G19-$B11)^2 + ($H19-$C11)^2)</f>
        <v>0.8246211251</v>
      </c>
      <c r="I40" s="8">
        <f>SQRT(($G19-$B12)^2 + ($H19-$C12)^2)</f>
        <v>0.2828427125</v>
      </c>
      <c r="J40" s="8">
        <f>SQRT(($G19-$B13)^2 + ($H19-$C13)^2)</f>
        <v>0.7615773106</v>
      </c>
      <c r="K40" s="8">
        <f>SQRT(($G19-$B14)^2 + ($H19-$C14)^2)</f>
        <v>1.303840481</v>
      </c>
      <c r="L40" s="8">
        <f>SQRT(($G19-$B15)^2 + ($H19-$C15)^2)</f>
        <v>0.6708203932</v>
      </c>
      <c r="M40" s="8">
        <f>SQRT(($G19-$B16)^2 + ($H19-$C16)^2)</f>
        <v>0.1414213562</v>
      </c>
      <c r="N40" s="8">
        <f>SQRT(($G19-$B17)^2 + ($H19-$C17)^2)</f>
        <v>0.8062257748</v>
      </c>
      <c r="O40" s="8">
        <f>SQRT(($G19-$B18)^2 + ($H19-$C18)^2)</f>
        <v>0.9848857802</v>
      </c>
      <c r="P40" s="8">
        <f>SQRT(($G19-$B19)^2 + ($H19-$C19)^2)</f>
        <v>0.5099019514</v>
      </c>
      <c r="Q40" s="8">
        <f>SQRT(($G19-$B20)^2 + ($H19-$C20)^2)</f>
        <v>0.5</v>
      </c>
    </row>
    <row r="41" ht="15.75" customHeight="1">
      <c r="A41" s="13" t="s">
        <v>45</v>
      </c>
      <c r="B41" s="9" t="s">
        <v>36</v>
      </c>
      <c r="C41" s="11">
        <f>SQRT(($G20-$B6)^2 + ($H20-$C6)^2)</f>
        <v>0.9433981132</v>
      </c>
      <c r="D41" s="11">
        <f>SQRT(($G20-$B7)^2 + ($H20-$C7)^2)</f>
        <v>1</v>
      </c>
      <c r="E41" s="11">
        <f>SQRT(($G20-$B8)^2 + ($H20-$C8)^2)</f>
        <v>1.216552506</v>
      </c>
      <c r="F41" s="11">
        <f>SQRT(($G20-$B9)^2 + ($H20-$C9)^2)</f>
        <v>1.303840481</v>
      </c>
      <c r="G41" s="11">
        <f>SQRT(($G20-$B10)^2 + ($H20-$C10)^2)</f>
        <v>1.081665383</v>
      </c>
      <c r="H41" s="11">
        <f>SQRT(($G20-$B11)^2 + ($H20-$C11)^2)</f>
        <v>1.118033989</v>
      </c>
      <c r="I41" s="11">
        <f>SQRT(($G20-$B12)^2 + ($H20-$C12)^2)</f>
        <v>0.5385164807</v>
      </c>
      <c r="J41" s="11">
        <f>SQRT(($G20-$B13)^2 + ($H20-$C13)^2)</f>
        <v>1.004987562</v>
      </c>
      <c r="K41" s="11">
        <f>SQRT(($G20-$B14)^2 + ($H20-$C14)^2)</f>
        <v>0.8062257748</v>
      </c>
      <c r="L41" s="11">
        <f>SQRT(($G20-$B15)^2 + ($H20-$C15)^2)</f>
        <v>0.632455532</v>
      </c>
      <c r="M41" s="11">
        <f>SQRT(($G20-$B16)^2 + ($H20-$C16)^2)</f>
        <v>0.5</v>
      </c>
      <c r="N41" s="11">
        <f>SQRT(($G20-$B17)^2 + ($H20-$C17)^2)</f>
        <v>0.316227766</v>
      </c>
      <c r="O41" s="11">
        <f>SQRT(($G20-$B18)^2 + ($H20-$C18)^2)</f>
        <v>1.2</v>
      </c>
      <c r="P41" s="11">
        <f>SQRT(($G20-$B19)^2 + ($H20-$C19)^2)</f>
        <v>0.4123105626</v>
      </c>
      <c r="Q41" s="11">
        <f>SQRT(($G20-$B20)^2 + ($H20-$C20)^2)</f>
        <v>0.6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